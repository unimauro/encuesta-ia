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tado de Resultados" sheetId="2" state="visible" r:id="rId2"/>
    <sheet xmlns:r="http://schemas.openxmlformats.org/officeDocument/2006/relationships" name="Balance General" sheetId="3" state="visible" r:id="rId3"/>
    <sheet xmlns:r="http://schemas.openxmlformats.org/officeDocument/2006/relationships" name="Ventas mensuales 2025" sheetId="4" state="visible" r:id="rId4"/>
    <sheet xmlns:r="http://schemas.openxmlformats.org/officeDocument/2006/relationships" name="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13">
    <font>
      <name val="Calibri"/>
      <family val="2"/>
      <color theme="1"/>
      <sz val="11"/>
      <scheme val="minor"/>
    </font>
    <font>
      <name val="Arial"/>
      <b val="1"/>
      <color rgb="000A2463"/>
      <sz val="16"/>
    </font>
    <font>
      <name val="Arial"/>
      <b val="1"/>
      <sz val="12"/>
    </font>
    <font>
      <name val="Arial"/>
      <b val="1"/>
      <color rgb="00E5484D"/>
    </font>
    <font>
      <name val="Arial"/>
    </font>
    <font>
      <name val="Arial"/>
      <b val="1"/>
    </font>
    <font>
      <name val="Arial"/>
      <i val="1"/>
    </font>
    <font>
      <name val="Arial"/>
      <b val="1"/>
      <color rgb="00FFFFFF"/>
    </font>
    <font>
      <name val="Arial"/>
      <color rgb="000000FF"/>
    </font>
    <font>
      <name val="Arial"/>
      <i val="1"/>
      <color rgb="005B6B85"/>
    </font>
    <font>
      <name val="Arial"/>
      <color rgb="00008000"/>
    </font>
    <font>
      <name val="Arial"/>
      <color rgb="005B6B85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0A2463"/>
      </patternFill>
    </fill>
    <fill>
      <patternFill patternType="solid">
        <fgColor rgb="00FFFF00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D5DEEF"/>
      </left>
      <right style="thin">
        <color rgb="00D5DEEF"/>
      </right>
      <top style="thin">
        <color rgb="00D5DEEF"/>
      </top>
      <bottom style="thin">
        <color rgb="00D5DEE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8" fillId="0" borderId="1" pivotButton="0" quotePrefix="0" xfId="0"/>
    <xf numFmtId="0" fontId="5" fillId="0" borderId="0" pivotButton="0" quotePrefix="0" xfId="0"/>
    <xf numFmtId="164" fontId="5" fillId="0" borderId="1" pivotButton="0" quotePrefix="0" xfId="0"/>
    <xf numFmtId="165" fontId="8" fillId="3" borderId="0" pivotButton="0" quotePrefix="0" xfId="0"/>
    <xf numFmtId="0" fontId="9" fillId="0" borderId="0" pivotButton="0" quotePrefix="0" xfId="0"/>
    <xf numFmtId="164" fontId="5" fillId="4" borderId="1" pivotButton="0" quotePrefix="0" xfId="0"/>
    <xf numFmtId="164" fontId="10" fillId="0" borderId="0" pivotButton="0" quotePrefix="0" xfId="0"/>
    <xf numFmtId="0" fontId="11" fillId="0" borderId="0" pivotButton="0" quotePrefix="0" xfId="0"/>
    <xf numFmtId="165" fontId="10" fillId="0" borderId="1" pivotButton="0" quotePrefix="0" xfId="0"/>
    <xf numFmtId="165" fontId="12" fillId="3" borderId="1" pivotButton="0" quotePrefix="0" xfId="0"/>
    <xf numFmtId="2" fontId="12" fillId="3" borderId="1" pivotButton="0" quotePrefix="0" xfId="0"/>
    <xf numFmtId="1" fontId="12" fillId="3" borderId="1" pivotButton="0" quotePrefix="0" xfId="0"/>
    <xf numFmtId="0" fontId="1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Docente</author>
  </authors>
  <commentList>
    <comment ref="B13" authorId="0" shapeId="0">
      <text>
        <t>Supuesto: tasa general del impuesto a la renta de tercera categoría en Perú (29.5%). Puedes cambiarla.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n"/>
      <c r="B1" s="2" t="inlineStr">
        <is>
          <t>Tarea en grupo · Sesión 1 · AI Productivity Engineering (eIA)</t>
        </is>
      </c>
    </row>
    <row r="2">
      <c r="A2" s="1" t="n"/>
      <c r="B2" s="3" t="inlineStr">
        <is>
          <t>Analiza con IA el estado financiero de Comercial Andina S.A.C.</t>
        </is>
      </c>
    </row>
    <row r="3">
      <c r="A3" s="1" t="n"/>
      <c r="B3" s="4" t="inlineStr">
        <is>
          <t>IMPORTANTE: es una empresa FICTICIA con datos inventados para practicar. No representa a ninguna empresa real.</t>
        </is>
      </c>
    </row>
    <row r="4">
      <c r="A4" s="1" t="n"/>
      <c r="B4" s="5" t="inlineStr"/>
    </row>
    <row r="5">
      <c r="A5" s="1" t="n"/>
      <c r="B5" s="5" t="inlineStr">
        <is>
          <t>Grupos de 3 a 4 personas. Entrega antes de la próxima sesión.</t>
        </is>
      </c>
    </row>
    <row r="6">
      <c r="A6" s="1" t="n"/>
      <c r="B6" s="5" t="inlineStr"/>
    </row>
    <row r="7">
      <c r="A7" s="1" t="n"/>
      <c r="B7" s="6" t="inlineStr">
        <is>
          <t>Pasos</t>
        </is>
      </c>
    </row>
    <row r="8">
      <c r="A8" s="1" t="n"/>
      <c r="B8" s="5" t="inlineStr">
        <is>
          <t>1. Sube este archivo a ChatGPT, Claude, Gemini o Grok. Pídele que te explique qué contiene cada hoja.</t>
        </is>
      </c>
    </row>
    <row r="9">
      <c r="A9" s="1" t="n"/>
      <c r="B9" s="5" t="inlineStr">
        <is>
          <t>2. Completa la hoja 'Ratios' (celdas amarillas). Pide ayuda a la IA, pero escribe tú las fórmulas en Excel.</t>
        </is>
      </c>
    </row>
    <row r="10">
      <c r="A10" s="1" t="n"/>
      <c r="B10" s="5" t="inlineStr">
        <is>
          <t>3. Pregunta a la IA: ¿por qué baja la utilidad neta si las ventas suben cada año?</t>
        </is>
      </c>
    </row>
    <row r="11">
      <c r="A11" s="1" t="n"/>
      <c r="B11" s="5" t="inlineStr">
        <is>
          <t>4. Pide a la IA que revise 'Ventas mensuales 2025' y encuentre comportamientos raros o anomalías.</t>
        </is>
      </c>
    </row>
    <row r="12">
      <c r="A12" s="1" t="n"/>
      <c r="B12" s="5" t="inlineStr">
        <is>
          <t>5. Pide un gráfico de ventas y otro de margen neto. Revisa que los números del gráfico coincidan con el Excel.</t>
        </is>
      </c>
    </row>
    <row r="13">
      <c r="A13" s="1" t="n"/>
      <c r="B13" s="5" t="inlineStr">
        <is>
          <t>6. Verifica: recalcula tú mismo al menos 2 ratios y compáralos con lo que dijo la IA. Anota si se equivocó.</t>
        </is>
      </c>
    </row>
    <row r="14">
      <c r="A14" s="1" t="n"/>
      <c r="B14" s="5" t="inlineStr">
        <is>
          <t>7. Haz la misma pregunta del paso 3 en un segundo modelo y compara las respuestas.</t>
        </is>
      </c>
    </row>
    <row r="15">
      <c r="A15" s="1" t="n"/>
      <c r="B15" s="5" t="inlineStr"/>
    </row>
    <row r="16">
      <c r="A16" s="1" t="n"/>
      <c r="B16" s="6" t="inlineStr">
        <is>
          <t>Entregable (1 página)</t>
        </is>
      </c>
    </row>
    <row r="17">
      <c r="A17" s="1" t="n"/>
      <c r="B17" s="5" t="inlineStr">
        <is>
          <t>• 3 hallazgos con cifras  • 1 gráfico  • 2 recomendaciones para el gerente  • Qué modelos usaron y en qué se equivocaron</t>
        </is>
      </c>
    </row>
    <row r="18">
      <c r="A18" s="1" t="n"/>
      <c r="B18" s="5" t="inlineStr"/>
    </row>
    <row r="19">
      <c r="A19" s="1" t="n"/>
      <c r="B19" s="6" t="inlineStr">
        <is>
          <t>Prompt sugerido para empezar (usa la plantilla de contexto de la clase)</t>
        </is>
      </c>
    </row>
    <row r="20" ht="60" customHeight="1">
      <c r="A20" s="1" t="n"/>
      <c r="B20" s="7" t="inlineStr">
        <is>
          <t>Rol: actúa como analista financiero. Objetivo: explicar al gerente la salud financiera de la empresa. Contexto: adjunto el Excel con 3 años. Formato: 3 hallazgos, 1 tabla de ratios, 2 recomendaciones. Reglas: usa solo los datos del archivo y muestra cómo calculaste cada ratio. Verificación: al final, lista qué supuestos hiciste.</t>
        </is>
      </c>
    </row>
    <row r="21">
      <c r="A21" s="1" t="n"/>
      <c r="B21" s="5" t="inlineStr"/>
    </row>
    <row r="22">
      <c r="A22" s="1" t="n"/>
      <c r="B22" s="6" t="inlineStr">
        <is>
          <t>Leyenda de colores</t>
        </is>
      </c>
    </row>
    <row r="23">
      <c r="A23" s="1" t="n"/>
      <c r="B23" s="5" t="inlineStr">
        <is>
          <t>Texto azul = datos de entrada · Texto negro = fórmulas · Celdas amarillas = para que las completes tú</t>
        </is>
      </c>
    </row>
    <row r="24">
      <c r="A24" s="1" t="n"/>
      <c r="B24" s="5" t="inlineStr">
        <is>
          <t>Cifras en miles de soles (S/ miles). Tasa de impuesto a la renta supuesta: 29.5% (celda en 'Estado de Resultados').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Concepto (S/ miles)</t>
        </is>
      </c>
      <c r="B1" s="8" t="inlineStr">
        <is>
          <t>2023</t>
        </is>
      </c>
      <c r="C1" s="8" t="inlineStr">
        <is>
          <t>2024</t>
        </is>
      </c>
      <c r="D1" s="8" t="inlineStr">
        <is>
          <t>2025</t>
        </is>
      </c>
    </row>
    <row r="2">
      <c r="A2" s="9" t="inlineStr">
        <is>
          <t>Ventas netas</t>
        </is>
      </c>
      <c r="B2" s="10" t="n">
        <v>18500</v>
      </c>
      <c r="C2" s="10" t="n">
        <v>21300</v>
      </c>
      <c r="D2" s="10" t="n">
        <v>24100</v>
      </c>
    </row>
    <row r="3">
      <c r="A3" s="9" t="inlineStr">
        <is>
          <t>Costo de ventas</t>
        </is>
      </c>
      <c r="B3" s="10" t="n">
        <v>12400</v>
      </c>
      <c r="C3" s="10" t="n">
        <v>14600</v>
      </c>
      <c r="D3" s="10" t="n">
        <v>17200</v>
      </c>
    </row>
    <row r="4">
      <c r="A4" s="11" t="inlineStr">
        <is>
          <t>Utilidad bruta</t>
        </is>
      </c>
      <c r="B4" s="12">
        <f>B2-B3</f>
        <v/>
      </c>
      <c r="C4" s="12">
        <f>C2-C3</f>
        <v/>
      </c>
      <c r="D4" s="12">
        <f>D2-D3</f>
        <v/>
      </c>
    </row>
    <row r="5">
      <c r="A5" s="9" t="inlineStr">
        <is>
          <t>Gastos de ventas</t>
        </is>
      </c>
      <c r="B5" s="10" t="n">
        <v>2100</v>
      </c>
      <c r="C5" s="10" t="n">
        <v>2450</v>
      </c>
      <c r="D5" s="10" t="n">
        <v>2900</v>
      </c>
    </row>
    <row r="6">
      <c r="A6" s="9" t="inlineStr">
        <is>
          <t>Gastos administrativos</t>
        </is>
      </c>
      <c r="B6" s="10" t="n">
        <v>1600</v>
      </c>
      <c r="C6" s="10" t="n">
        <v>1750</v>
      </c>
      <c r="D6" s="10" t="n">
        <v>1950</v>
      </c>
    </row>
    <row r="7">
      <c r="A7" s="11" t="inlineStr">
        <is>
          <t>Utilidad operativa</t>
        </is>
      </c>
      <c r="B7" s="12">
        <f>B4-B5-B6</f>
        <v/>
      </c>
      <c r="C7" s="12">
        <f>C4-C5-C6</f>
        <v/>
      </c>
      <c r="D7" s="12">
        <f>D4-D5-D6</f>
        <v/>
      </c>
    </row>
    <row r="8">
      <c r="A8" s="9" t="inlineStr">
        <is>
          <t>Gastos financieros</t>
        </is>
      </c>
      <c r="B8" s="10" t="n">
        <v>300</v>
      </c>
      <c r="C8" s="10" t="n">
        <v>420</v>
      </c>
      <c r="D8" s="10" t="n">
        <v>640</v>
      </c>
    </row>
    <row r="9">
      <c r="A9" s="11" t="inlineStr">
        <is>
          <t>Utilidad antes de impuestos</t>
        </is>
      </c>
      <c r="B9" s="12">
        <f>B7-B8</f>
        <v/>
      </c>
      <c r="C9" s="12">
        <f>C7-C8</f>
        <v/>
      </c>
      <c r="D9" s="12">
        <f>D7-D8</f>
        <v/>
      </c>
    </row>
    <row r="10">
      <c r="A10" s="11" t="inlineStr">
        <is>
          <t>Impuesto a la renta</t>
        </is>
      </c>
      <c r="B10" s="12">
        <f>B9*$B$13</f>
        <v/>
      </c>
      <c r="C10" s="12">
        <f>C9*$B$13</f>
        <v/>
      </c>
      <c r="D10" s="12">
        <f>D9*$B$13</f>
        <v/>
      </c>
    </row>
    <row r="11">
      <c r="A11" s="11" t="inlineStr">
        <is>
          <t>Utilidad neta</t>
        </is>
      </c>
      <c r="B11" s="12">
        <f>B9-B10</f>
        <v/>
      </c>
      <c r="C11" s="12">
        <f>C9-C10</f>
        <v/>
      </c>
      <c r="D11" s="12">
        <f>D9-D10</f>
        <v/>
      </c>
    </row>
    <row r="12">
      <c r="A12" s="1" t="n"/>
      <c r="B12" s="1" t="n"/>
      <c r="C12" s="1" t="n"/>
      <c r="D12" s="1" t="n"/>
    </row>
    <row r="13">
      <c r="A13" s="11" t="inlineStr">
        <is>
          <t>Tasa de impuesto a la renta (supuesto)</t>
        </is>
      </c>
      <c r="B13" s="13" t="n">
        <v>0.295</v>
      </c>
      <c r="C13" s="1" t="n"/>
      <c r="D13" s="1" t="n"/>
    </row>
    <row r="14">
      <c r="A14" s="1" t="n"/>
      <c r="B14" s="1" t="n"/>
      <c r="C14" s="1" t="n"/>
      <c r="D14" s="1" t="n"/>
    </row>
    <row r="15">
      <c r="A15" s="14" t="inlineStr">
        <is>
          <t>Empresa ficticia con fines educativos. Datos inventados.</t>
        </is>
      </c>
      <c r="B15" s="1" t="n"/>
      <c r="C15" s="1" t="n"/>
      <c r="D15" s="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Concepto (S/ miles, al cierre)</t>
        </is>
      </c>
      <c r="B1" s="8" t="inlineStr">
        <is>
          <t>2023</t>
        </is>
      </c>
      <c r="C1" s="8" t="inlineStr">
        <is>
          <t>2024</t>
        </is>
      </c>
      <c r="D1" s="8" t="inlineStr">
        <is>
          <t>2025</t>
        </is>
      </c>
    </row>
    <row r="2">
      <c r="A2" s="9" t="inlineStr">
        <is>
          <t>Caja y bancos</t>
        </is>
      </c>
      <c r="B2" s="10" t="n">
        <v>1450</v>
      </c>
      <c r="C2" s="10" t="n">
        <v>1100</v>
      </c>
      <c r="D2" s="10" t="n">
        <v>620</v>
      </c>
    </row>
    <row r="3">
      <c r="A3" s="9" t="inlineStr">
        <is>
          <t>Cuentas por cobrar</t>
        </is>
      </c>
      <c r="B3" s="10" t="n">
        <v>2300</v>
      </c>
      <c r="C3" s="10" t="n">
        <v>3100</v>
      </c>
      <c r="D3" s="10" t="n">
        <v>4600</v>
      </c>
    </row>
    <row r="4">
      <c r="A4" s="9" t="inlineStr">
        <is>
          <t>Inventarios</t>
        </is>
      </c>
      <c r="B4" s="10" t="n">
        <v>2000</v>
      </c>
      <c r="C4" s="10" t="n">
        <v>2600</v>
      </c>
      <c r="D4" s="10" t="n">
        <v>3700</v>
      </c>
    </row>
    <row r="5">
      <c r="A5" s="11" t="inlineStr">
        <is>
          <t>Activo corriente</t>
        </is>
      </c>
      <c r="B5" s="12">
        <f>SUM(B2:B4)</f>
        <v/>
      </c>
      <c r="C5" s="12">
        <f>SUM(C2:C4)</f>
        <v/>
      </c>
      <c r="D5" s="12">
        <f>SUM(D2:D4)</f>
        <v/>
      </c>
    </row>
    <row r="6">
      <c r="A6" s="9" t="inlineStr">
        <is>
          <t>Activo fijo neto</t>
        </is>
      </c>
      <c r="B6" s="10" t="n">
        <v>5200</v>
      </c>
      <c r="C6" s="10" t="n">
        <v>5500</v>
      </c>
      <c r="D6" s="10" t="n">
        <v>5900</v>
      </c>
    </row>
    <row r="7">
      <c r="A7" s="11" t="inlineStr">
        <is>
          <t>TOTAL ACTIVO</t>
        </is>
      </c>
      <c r="B7" s="12">
        <f>B5+B6</f>
        <v/>
      </c>
      <c r="C7" s="12">
        <f>C5+C6</f>
        <v/>
      </c>
      <c r="D7" s="12">
        <f>D5+D6</f>
        <v/>
      </c>
    </row>
    <row r="8">
      <c r="A8" s="9" t="inlineStr">
        <is>
          <t>Cuentas por pagar</t>
        </is>
      </c>
      <c r="B8" s="10" t="n">
        <v>1700</v>
      </c>
      <c r="C8" s="10" t="n">
        <v>2000</v>
      </c>
      <c r="D8" s="10" t="n">
        <v>2400</v>
      </c>
    </row>
    <row r="9">
      <c r="A9" s="9" t="inlineStr">
        <is>
          <t>Deuda de corto plazo</t>
        </is>
      </c>
      <c r="B9" s="10" t="n">
        <v>800</v>
      </c>
      <c r="C9" s="10" t="n">
        <v>1300</v>
      </c>
      <c r="D9" s="10" t="n">
        <v>2600</v>
      </c>
    </row>
    <row r="10">
      <c r="A10" s="11" t="inlineStr">
        <is>
          <t>Pasivo corriente</t>
        </is>
      </c>
      <c r="B10" s="12">
        <f>B8+B9</f>
        <v/>
      </c>
      <c r="C10" s="12">
        <f>C8+C9</f>
        <v/>
      </c>
      <c r="D10" s="12">
        <f>D8+D9</f>
        <v/>
      </c>
    </row>
    <row r="11">
      <c r="A11" s="9" t="inlineStr">
        <is>
          <t>Deuda de largo plazo</t>
        </is>
      </c>
      <c r="B11" s="10" t="n">
        <v>2500</v>
      </c>
      <c r="C11" s="10" t="n">
        <v>2800</v>
      </c>
      <c r="D11" s="10" t="n">
        <v>3300</v>
      </c>
    </row>
    <row r="12">
      <c r="A12" s="11" t="inlineStr">
        <is>
          <t>TOTAL PASIVO</t>
        </is>
      </c>
      <c r="B12" s="12">
        <f>B10+B11</f>
        <v/>
      </c>
      <c r="C12" s="12">
        <f>C10+C11</f>
        <v/>
      </c>
      <c r="D12" s="12">
        <f>D10+D11</f>
        <v/>
      </c>
    </row>
    <row r="13">
      <c r="A13" s="9" t="inlineStr">
        <is>
          <t>Patrimonio</t>
        </is>
      </c>
      <c r="B13" s="10" t="n">
        <v>5950</v>
      </c>
      <c r="C13" s="10" t="n">
        <v>6200</v>
      </c>
      <c r="D13" s="10" t="n">
        <v>6520</v>
      </c>
    </row>
    <row r="14">
      <c r="A14" s="11" t="inlineStr">
        <is>
          <t>TOTAL PASIVO + PATRIMONIO</t>
        </is>
      </c>
      <c r="B14" s="12">
        <f>B12+B13</f>
        <v/>
      </c>
      <c r="C14" s="12">
        <f>C12+C13</f>
        <v/>
      </c>
      <c r="D14" s="12">
        <f>D12+D13</f>
        <v/>
      </c>
    </row>
    <row r="15">
      <c r="A15" s="11" t="inlineStr">
        <is>
          <t>Control: activo − (pasivo + patrimonio)</t>
        </is>
      </c>
      <c r="B15" s="12">
        <f>B7-B14</f>
        <v/>
      </c>
      <c r="C15" s="12">
        <f>C7-C14</f>
        <v/>
      </c>
      <c r="D15" s="12">
        <f>D7-D14</f>
        <v/>
      </c>
    </row>
    <row r="16">
      <c r="A16" s="1" t="n"/>
      <c r="B16" s="1" t="n"/>
      <c r="C16" s="1" t="n"/>
      <c r="D16" s="1" t="n"/>
    </row>
    <row r="17">
      <c r="A17" s="14" t="inlineStr">
        <is>
          <t>El control debe dar 0 (−). La variación del patrimonio incluye la utilidad del año menos dividendos repartidos.</t>
        </is>
      </c>
      <c r="B17" s="1" t="n"/>
      <c r="C17" s="1" t="n"/>
      <c r="D1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Mes</t>
        </is>
      </c>
      <c r="B1" s="8" t="inlineStr">
        <is>
          <t>Lima</t>
        </is>
      </c>
      <c r="C1" s="8" t="inlineStr">
        <is>
          <t>Norte</t>
        </is>
      </c>
      <c r="D1" s="8" t="inlineStr">
        <is>
          <t>Sur</t>
        </is>
      </c>
      <c r="E1" s="8" t="inlineStr">
        <is>
          <t>Oriente</t>
        </is>
      </c>
      <c r="F1" s="8" t="inlineStr">
        <is>
          <t>Total</t>
        </is>
      </c>
    </row>
    <row r="2">
      <c r="A2" s="11" t="inlineStr">
        <is>
          <t>Ene</t>
        </is>
      </c>
      <c r="B2" s="10" t="n">
        <v>994</v>
      </c>
      <c r="C2" s="10" t="n">
        <v>362</v>
      </c>
      <c r="D2" s="10" t="n">
        <v>307</v>
      </c>
      <c r="E2" s="10" t="n">
        <v>145</v>
      </c>
      <c r="F2" s="12">
        <f>SUM(B2:E2)</f>
        <v/>
      </c>
    </row>
    <row r="3">
      <c r="A3" s="11" t="inlineStr">
        <is>
          <t>Feb</t>
        </is>
      </c>
      <c r="B3" s="10" t="n">
        <v>954</v>
      </c>
      <c r="C3" s="10" t="n">
        <v>347</v>
      </c>
      <c r="D3" s="10" t="n">
        <v>295</v>
      </c>
      <c r="E3" s="10" t="n">
        <v>139</v>
      </c>
      <c r="F3" s="12">
        <f>SUM(B3:E3)</f>
        <v/>
      </c>
    </row>
    <row r="4">
      <c r="A4" s="11" t="inlineStr">
        <is>
          <t>Mar</t>
        </is>
      </c>
      <c r="B4" s="10" t="n">
        <v>1060</v>
      </c>
      <c r="C4" s="10" t="n">
        <v>386</v>
      </c>
      <c r="D4" s="10" t="n">
        <v>328</v>
      </c>
      <c r="E4" s="10" t="n">
        <v>154</v>
      </c>
      <c r="F4" s="12">
        <f>SUM(B4:E4)</f>
        <v/>
      </c>
    </row>
    <row r="5">
      <c r="A5" s="11" t="inlineStr">
        <is>
          <t>Abr</t>
        </is>
      </c>
      <c r="B5" s="10" t="n">
        <v>1060</v>
      </c>
      <c r="C5" s="10" t="n">
        <v>386</v>
      </c>
      <c r="D5" s="10" t="n">
        <v>328</v>
      </c>
      <c r="E5" s="10" t="n">
        <v>154</v>
      </c>
      <c r="F5" s="12">
        <f>SUM(B5:E5)</f>
        <v/>
      </c>
    </row>
    <row r="6">
      <c r="A6" s="11" t="inlineStr">
        <is>
          <t>May</t>
        </is>
      </c>
      <c r="B6" s="10" t="n">
        <v>1087</v>
      </c>
      <c r="C6" s="10" t="n">
        <v>395</v>
      </c>
      <c r="D6" s="10" t="n">
        <v>336</v>
      </c>
      <c r="E6" s="10" t="n">
        <v>158</v>
      </c>
      <c r="F6" s="12">
        <f>SUM(B6:E6)</f>
        <v/>
      </c>
    </row>
    <row r="7">
      <c r="A7" s="11" t="inlineStr">
        <is>
          <t>Jun</t>
        </is>
      </c>
      <c r="B7" s="10" t="n">
        <v>1060</v>
      </c>
      <c r="C7" s="10" t="n">
        <v>386</v>
      </c>
      <c r="D7" s="10" t="n">
        <v>328</v>
      </c>
      <c r="E7" s="10" t="n">
        <v>154</v>
      </c>
      <c r="F7" s="12">
        <f>SUM(B7:E7)</f>
        <v/>
      </c>
    </row>
    <row r="8">
      <c r="A8" s="11" t="inlineStr">
        <is>
          <t>Jul</t>
        </is>
      </c>
      <c r="B8" s="10" t="n">
        <v>1100</v>
      </c>
      <c r="C8" s="10" t="n">
        <v>220</v>
      </c>
      <c r="D8" s="10" t="n">
        <v>340</v>
      </c>
      <c r="E8" s="10" t="n">
        <v>160</v>
      </c>
      <c r="F8" s="12">
        <f>SUM(B8:E8)</f>
        <v/>
      </c>
    </row>
    <row r="9">
      <c r="A9" s="11" t="inlineStr">
        <is>
          <t>Ago</t>
        </is>
      </c>
      <c r="B9" s="10" t="n">
        <v>1113</v>
      </c>
      <c r="C9" s="10" t="n">
        <v>223</v>
      </c>
      <c r="D9" s="10" t="n">
        <v>344</v>
      </c>
      <c r="E9" s="10" t="n">
        <v>162</v>
      </c>
      <c r="F9" s="12">
        <f>SUM(B9:E9)</f>
        <v/>
      </c>
    </row>
    <row r="10">
      <c r="A10" s="11" t="inlineStr">
        <is>
          <t>Set</t>
        </is>
      </c>
      <c r="B10" s="10" t="n">
        <v>1100</v>
      </c>
      <c r="C10" s="10" t="n">
        <v>220</v>
      </c>
      <c r="D10" s="10" t="n">
        <v>340</v>
      </c>
      <c r="E10" s="10" t="n">
        <v>160</v>
      </c>
      <c r="F10" s="12">
        <f>SUM(B10:E10)</f>
        <v/>
      </c>
    </row>
    <row r="11">
      <c r="A11" s="11" t="inlineStr">
        <is>
          <t>Oct</t>
        </is>
      </c>
      <c r="B11" s="10" t="n">
        <v>1153</v>
      </c>
      <c r="C11" s="10" t="n">
        <v>419</v>
      </c>
      <c r="D11" s="10" t="n">
        <v>356</v>
      </c>
      <c r="E11" s="10" t="n">
        <v>168</v>
      </c>
      <c r="F11" s="12">
        <f>SUM(B11:E11)</f>
        <v/>
      </c>
    </row>
    <row r="12">
      <c r="A12" s="11" t="inlineStr">
        <is>
          <t>Nov</t>
        </is>
      </c>
      <c r="B12" s="10" t="n">
        <v>1193</v>
      </c>
      <c r="C12" s="10" t="n">
        <v>434</v>
      </c>
      <c r="D12" s="10" t="n">
        <v>369</v>
      </c>
      <c r="E12" s="10" t="n">
        <v>174</v>
      </c>
      <c r="F12" s="12">
        <f>SUM(B12:E12)</f>
        <v/>
      </c>
    </row>
    <row r="13">
      <c r="A13" s="11" t="inlineStr">
        <is>
          <t>Dic</t>
        </is>
      </c>
      <c r="B13" s="10" t="n">
        <v>1700</v>
      </c>
      <c r="C13" s="10" t="n">
        <v>501</v>
      </c>
      <c r="D13" s="10" t="n">
        <v>426</v>
      </c>
      <c r="E13" s="10" t="n">
        <v>422</v>
      </c>
      <c r="F13" s="12">
        <f>SUM(B13:E13)</f>
        <v/>
      </c>
    </row>
    <row r="14">
      <c r="A14" s="11" t="inlineStr">
        <is>
          <t>Total</t>
        </is>
      </c>
      <c r="B14" s="15">
        <f>SUM(B2:B13)</f>
        <v/>
      </c>
      <c r="C14" s="15">
        <f>SUM(C2:C13)</f>
        <v/>
      </c>
      <c r="D14" s="15">
        <f>SUM(D2:D13)</f>
        <v/>
      </c>
      <c r="E14" s="15">
        <f>SUM(E2:E13)</f>
        <v/>
      </c>
      <c r="F14" s="15">
        <f>SUM(F2:F13)</f>
        <v/>
      </c>
    </row>
    <row r="15">
      <c r="A15" s="1" t="n"/>
      <c r="B15" s="1" t="n"/>
      <c r="C15" s="1" t="n"/>
      <c r="D15" s="1" t="n"/>
      <c r="E15" s="1" t="n"/>
      <c r="F15" s="1" t="n"/>
    </row>
    <row r="16">
      <c r="A16" s="14" t="inlineStr">
        <is>
          <t>Control: el total debe coincidir con Ventas netas 2025 del Estado de Resultados →</t>
        </is>
      </c>
      <c r="B16" s="1" t="n"/>
      <c r="C16" s="1" t="n"/>
      <c r="D16" s="1" t="n"/>
      <c r="E16" s="1" t="n"/>
      <c r="F16" s="16">
        <f>F14-'Estado de Resultados'!D2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Ratio</t>
        </is>
      </c>
      <c r="B1" s="8" t="inlineStr">
        <is>
          <t>Fórmula sugerida</t>
        </is>
      </c>
      <c r="C1" s="8" t="inlineStr">
        <is>
          <t>2023</t>
        </is>
      </c>
      <c r="D1" s="8" t="inlineStr">
        <is>
          <t>2024</t>
        </is>
      </c>
      <c r="E1" s="8" t="inlineStr">
        <is>
          <t>2025</t>
        </is>
      </c>
    </row>
    <row r="2">
      <c r="A2" s="11" t="inlineStr">
        <is>
          <t>Margen bruto</t>
        </is>
      </c>
      <c r="B2" s="17" t="inlineStr">
        <is>
          <t>Utilidad bruta / Ventas netas</t>
        </is>
      </c>
      <c r="C2" s="18">
        <f>'Estado de Resultados'!B4/'Estado de Resultados'!B2</f>
        <v/>
      </c>
      <c r="D2" s="18">
        <f>'Estado de Resultados'!C4/'Estado de Resultados'!C2</f>
        <v/>
      </c>
      <c r="E2" s="18">
        <f>'Estado de Resultados'!D4/'Estado de Resultados'!D2</f>
        <v/>
      </c>
    </row>
    <row r="3">
      <c r="A3" s="11" t="inlineStr">
        <is>
          <t>Margen operativo</t>
        </is>
      </c>
      <c r="B3" s="17" t="inlineStr">
        <is>
          <t>Utilidad operativa / Ventas netas</t>
        </is>
      </c>
      <c r="C3" s="19" t="n"/>
      <c r="D3" s="19" t="n"/>
      <c r="E3" s="19" t="n"/>
    </row>
    <row r="4">
      <c r="A4" s="11" t="inlineStr">
        <is>
          <t>Margen neto</t>
        </is>
      </c>
      <c r="B4" s="17" t="inlineStr">
        <is>
          <t>Utilidad neta / Ventas netas</t>
        </is>
      </c>
      <c r="C4" s="19" t="n"/>
      <c r="D4" s="19" t="n"/>
      <c r="E4" s="19" t="n"/>
    </row>
    <row r="5">
      <c r="A5" s="11" t="inlineStr">
        <is>
          <t>Liquidez corriente</t>
        </is>
      </c>
      <c r="B5" s="17" t="inlineStr">
        <is>
          <t>Activo corriente / Pasivo corriente</t>
        </is>
      </c>
      <c r="C5" s="20" t="n"/>
      <c r="D5" s="20" t="n"/>
      <c r="E5" s="20" t="n"/>
    </row>
    <row r="6">
      <c r="A6" s="11" t="inlineStr">
        <is>
          <t>Prueba ácida</t>
        </is>
      </c>
      <c r="B6" s="17" t="inlineStr">
        <is>
          <t>(Activo corriente − Inventarios) / Pasivo corriente</t>
        </is>
      </c>
      <c r="C6" s="20" t="n"/>
      <c r="D6" s="20" t="n"/>
      <c r="E6" s="20" t="n"/>
    </row>
    <row r="7">
      <c r="A7" s="11" t="inlineStr">
        <is>
          <t>Días de cobranza</t>
        </is>
      </c>
      <c r="B7" s="17" t="inlineStr">
        <is>
          <t>Cuentas por cobrar / Ventas × 360</t>
        </is>
      </c>
      <c r="C7" s="21" t="n"/>
      <c r="D7" s="21" t="n"/>
      <c r="E7" s="21" t="n"/>
    </row>
    <row r="8">
      <c r="A8" s="11" t="inlineStr">
        <is>
          <t>Días de inventario</t>
        </is>
      </c>
      <c r="B8" s="17" t="inlineStr">
        <is>
          <t>Inventarios / Costo de ventas × 360</t>
        </is>
      </c>
      <c r="C8" s="21" t="n"/>
      <c r="D8" s="21" t="n"/>
      <c r="E8" s="21" t="n"/>
    </row>
    <row r="9">
      <c r="A9" s="11" t="inlineStr">
        <is>
          <t>Endeudamiento</t>
        </is>
      </c>
      <c r="B9" s="17" t="inlineStr">
        <is>
          <t>Total pasivo / Patrimonio</t>
        </is>
      </c>
      <c r="C9" s="20" t="n"/>
      <c r="D9" s="20" t="n"/>
      <c r="E9" s="20" t="n"/>
    </row>
    <row r="10">
      <c r="A10" s="11" t="inlineStr">
        <is>
          <t>ROE</t>
        </is>
      </c>
      <c r="B10" s="17" t="inlineStr">
        <is>
          <t>Utilidad neta / Patrimonio</t>
        </is>
      </c>
      <c r="C10" s="19" t="n"/>
      <c r="D10" s="19" t="n"/>
      <c r="E10" s="19" t="n"/>
    </row>
    <row r="11">
      <c r="A11" s="1" t="n"/>
      <c r="B11" s="1" t="n"/>
      <c r="C11" s="1" t="n"/>
      <c r="D11" s="1" t="n"/>
      <c r="E11" s="1" t="n"/>
    </row>
    <row r="12">
      <c r="A12" s="14" t="inlineStr">
        <is>
          <t>Ejemplo resuelto: 'Margen bruto' ya tiene la fórmula. Completa las celdas amarillas con tus propias fórmulas.</t>
        </is>
      </c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>
      <c r="A14" s="11" t="inlineStr">
        <is>
          <t>Conclusión del grupo (3 a 5 líneas):</t>
        </is>
      </c>
      <c r="B14" s="1" t="n"/>
      <c r="C14" s="1" t="n"/>
      <c r="D14" s="1" t="n"/>
      <c r="E14" s="1" t="n"/>
    </row>
    <row r="15">
      <c r="A15" s="22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</sheetData>
  <mergeCells count="1">
    <mergeCell ref="A15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2026-09-29T23:48:02Z</dcterms:created>
  <dcterms:modified xmlns:dcterms="http://purl.org/dc/terms/" xmlns:xsi="http://www.w3.org/2001/XMLSchema-instance" xsi:type="dcterms:W3CDTF">2026-09-29T23:48:02Z</dcterms:modified>
</cp:coreProperties>
</file>